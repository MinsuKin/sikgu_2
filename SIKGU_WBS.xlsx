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120" windowWidth="21570" windowHeight="10095"/>
  </bookViews>
  <sheets>
    <sheet name="Sheet1" sheetId="1" r:id="rId1"/>
  </sheets>
  <definedNames>
    <definedName name="_xlnm.Print_Titles" localSheetId="0">Sheet1!$1:$4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C20" i="1" s="1"/>
  <c r="E19" i="1"/>
  <c r="C19" i="1" s="1"/>
  <c r="E37" i="1" l="1"/>
  <c r="C37" i="1" s="1"/>
  <c r="E29" i="1" l="1"/>
  <c r="C29" i="1" s="1"/>
  <c r="E30" i="1"/>
  <c r="C30" i="1" s="1"/>
  <c r="E35" i="1" l="1"/>
  <c r="C35" i="1" s="1"/>
  <c r="E34" i="1"/>
  <c r="C34" i="1" s="1"/>
  <c r="E33" i="1"/>
  <c r="C33" i="1" s="1"/>
  <c r="E27" i="1"/>
  <c r="C27" i="1" s="1"/>
  <c r="E28" i="1"/>
  <c r="C28" i="1" s="1"/>
  <c r="E17" i="1"/>
  <c r="C17" i="1" s="1"/>
  <c r="E16" i="1"/>
  <c r="C16" i="1" s="1"/>
  <c r="E15" i="1"/>
  <c r="C15" i="1" s="1"/>
  <c r="E18" i="1"/>
  <c r="C18" i="1" s="1"/>
  <c r="E21" i="1"/>
  <c r="C21" i="1" s="1"/>
  <c r="E24" i="1" l="1"/>
  <c r="C24" i="1" s="1"/>
  <c r="E31" i="1" l="1"/>
  <c r="C31" i="1" s="1"/>
  <c r="E32" i="1"/>
  <c r="C32" i="1" s="1"/>
  <c r="E26" i="1"/>
  <c r="C26" i="1" s="1"/>
  <c r="E25" i="1"/>
  <c r="C25" i="1" s="1"/>
  <c r="E36" i="1"/>
  <c r="C36" i="1" s="1"/>
  <c r="E7" i="1"/>
  <c r="C7" i="1" s="1"/>
  <c r="E8" i="1"/>
  <c r="C8" i="1" s="1"/>
  <c r="E9" i="1"/>
  <c r="C9" i="1" s="1"/>
  <c r="E10" i="1"/>
  <c r="C10" i="1" s="1"/>
  <c r="E11" i="1"/>
  <c r="C11" i="1" s="1"/>
  <c r="E12" i="1"/>
  <c r="C12" i="1" s="1"/>
  <c r="E13" i="1"/>
  <c r="C13" i="1" s="1"/>
  <c r="E14" i="1"/>
  <c r="C14" i="1" s="1"/>
  <c r="E23" i="1"/>
  <c r="C23" i="1" s="1"/>
  <c r="E6" i="1" l="1"/>
  <c r="C6" i="1" s="1"/>
  <c r="E22" i="1"/>
  <c r="C22" i="1" s="1"/>
  <c r="E5" i="1"/>
  <c r="C5" i="1" s="1"/>
</calcChain>
</file>

<file path=xl/comments1.xml><?xml version="1.0" encoding="utf-8"?>
<comments xmlns="http://schemas.openxmlformats.org/spreadsheetml/2006/main">
  <authors>
    <author>multicampus</author>
  </authors>
  <commentList>
    <comment ref="B3" authorId="0" shapeId="0">
      <text>
        <r>
          <rPr>
            <b/>
            <sz val="9"/>
            <color indexed="81"/>
            <rFont val="돋움"/>
            <family val="3"/>
            <charset val="129"/>
          </rPr>
          <t>아래의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공정은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프로젝트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강사님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<sst xmlns="http://schemas.openxmlformats.org/spreadsheetml/2006/main" count="143" uniqueCount="114">
  <si>
    <t>공정</t>
  </si>
  <si>
    <t>시작 날짜</t>
  </si>
  <si>
    <t>완료 날짜</t>
  </si>
  <si>
    <t>프로젝트 관리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</si>
  <si>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</si>
  <si>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</si>
  <si>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</si>
  <si>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</si>
  <si>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</si>
  <si>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</si>
  <si>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</si>
  <si>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</si>
  <si>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</si>
  <si>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</si>
  <si>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</si>
  <si>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</si>
  <si>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</si>
  <si>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</si>
  <si>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</si>
  <si>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</si>
  <si>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</si>
  <si>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</si>
  <si>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</si>
  <si>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</si>
  <si>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</si>
  <si>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</si>
  <si>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</si>
  <si>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프로젝트 수행</t>
    <phoneticPr fontId="1" type="noConversion"/>
  </si>
  <si>
    <t>Project 명</t>
    <phoneticPr fontId="1" type="noConversion"/>
  </si>
  <si>
    <t>담당자</t>
    <phoneticPr fontId="1" type="noConversion"/>
  </si>
  <si>
    <t>구분</t>
    <phoneticPr fontId="1" type="noConversion"/>
  </si>
  <si>
    <t>완료율</t>
    <phoneticPr fontId="1" type="noConversion"/>
  </si>
  <si>
    <t>산출물</t>
    <phoneticPr fontId="1" type="noConversion"/>
  </si>
  <si>
    <t>기간</t>
    <phoneticPr fontId="1" type="noConversion"/>
  </si>
  <si>
    <t>24일</t>
    <phoneticPr fontId="1" type="noConversion"/>
  </si>
  <si>
    <t>25일</t>
    <phoneticPr fontId="1" type="noConversion"/>
  </si>
  <si>
    <t>26일</t>
    <phoneticPr fontId="1" type="noConversion"/>
  </si>
  <si>
    <t>27일</t>
    <phoneticPr fontId="1" type="noConversion"/>
  </si>
  <si>
    <t>28일</t>
    <phoneticPr fontId="1" type="noConversion"/>
  </si>
  <si>
    <t>29일</t>
    <phoneticPr fontId="1" type="noConversion"/>
  </si>
  <si>
    <t>Alpha Test</t>
    <phoneticPr fontId="1" type="noConversion"/>
  </si>
  <si>
    <t>Beta Test</t>
    <phoneticPr fontId="1" type="noConversion"/>
  </si>
  <si>
    <t>최종 Test</t>
    <phoneticPr fontId="1" type="noConversion"/>
  </si>
  <si>
    <t>발표</t>
    <phoneticPr fontId="1" type="noConversion"/>
  </si>
  <si>
    <t>시스템 구성 및 업무 분담</t>
    <phoneticPr fontId="1" type="noConversion"/>
  </si>
  <si>
    <t>설계</t>
    <phoneticPr fontId="1" type="noConversion"/>
  </si>
  <si>
    <t>구현</t>
    <phoneticPr fontId="1" type="noConversion"/>
  </si>
  <si>
    <t>현재날짜:</t>
    <phoneticPr fontId="1" type="noConversion"/>
  </si>
  <si>
    <t>플로우 차트 작성</t>
    <phoneticPr fontId="1" type="noConversion"/>
  </si>
  <si>
    <t>타당성 검토</t>
    <phoneticPr fontId="1" type="noConversion"/>
  </si>
  <si>
    <t>서버/DB 구현</t>
    <phoneticPr fontId="1" type="noConversion"/>
  </si>
  <si>
    <t>어플리케이션 구현</t>
    <phoneticPr fontId="1" type="noConversion"/>
  </si>
  <si>
    <t>문제 정의</t>
    <phoneticPr fontId="1" type="noConversion"/>
  </si>
  <si>
    <t>타당성 검토</t>
    <phoneticPr fontId="1" type="noConversion"/>
  </si>
  <si>
    <t>타당성검증</t>
    <phoneticPr fontId="1" type="noConversion"/>
  </si>
  <si>
    <t>공통분석</t>
    <phoneticPr fontId="1" type="noConversion"/>
  </si>
  <si>
    <t>문제 정의</t>
    <phoneticPr fontId="1" type="noConversion"/>
  </si>
  <si>
    <t>문제 정의 개요 작성</t>
    <phoneticPr fontId="1" type="noConversion"/>
  </si>
  <si>
    <t>기능별 시나리오 작성</t>
    <phoneticPr fontId="1" type="noConversion"/>
  </si>
  <si>
    <t>주제 선정</t>
    <phoneticPr fontId="1" type="noConversion"/>
  </si>
  <si>
    <t>DB 생성 / 테이블 정의</t>
    <phoneticPr fontId="1" type="noConversion"/>
  </si>
  <si>
    <t>문제 분석</t>
    <phoneticPr fontId="1" type="noConversion"/>
  </si>
  <si>
    <t>계획</t>
    <phoneticPr fontId="1" type="noConversion"/>
  </si>
  <si>
    <t>진행</t>
    <phoneticPr fontId="1" type="noConversion"/>
  </si>
  <si>
    <t>완료</t>
    <phoneticPr fontId="1" type="noConversion"/>
  </si>
  <si>
    <t>완료</t>
    <phoneticPr fontId="1" type="noConversion"/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</si>
  <si>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</si>
  <si>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</si>
  <si>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</si>
  <si>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</si>
  <si>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</si>
  <si>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</si>
  <si>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</si>
  <si>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</si>
  <si>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</si>
  <si>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</si>
  <si>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</si>
  <si>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</si>
  <si>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</si>
  <si>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</si>
  <si>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</si>
  <si>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로그인,회원가입, 정보변경, 가게등록</t>
    <phoneticPr fontId="1" type="noConversion"/>
  </si>
  <si>
    <t>기초 UI 구현</t>
    <phoneticPr fontId="1" type="noConversion"/>
  </si>
  <si>
    <t>Web페이지와 연결</t>
    <phoneticPr fontId="1" type="noConversion"/>
  </si>
  <si>
    <t>SIKGU</t>
    <phoneticPr fontId="1" type="noConversion"/>
  </si>
  <si>
    <t>필요데이터 import</t>
    <phoneticPr fontId="1" type="noConversion"/>
  </si>
  <si>
    <t>업로드, 시각화, 소셜네트워크 API</t>
    <phoneticPr fontId="1" type="noConversion"/>
  </si>
  <si>
    <t>프로젝트 계획</t>
    <phoneticPr fontId="1" type="noConversion"/>
  </si>
  <si>
    <t>프로젝트를 위한 필요 프로그램 사용 계획</t>
    <phoneticPr fontId="1" type="noConversion"/>
  </si>
  <si>
    <t>주요 API</t>
    <phoneticPr fontId="1" type="noConversion"/>
  </si>
  <si>
    <t>FaceBook API</t>
    <phoneticPr fontId="1" type="noConversion"/>
  </si>
  <si>
    <t>NAVER API</t>
    <phoneticPr fontId="1" type="noConversion"/>
  </si>
  <si>
    <t>CHART API</t>
    <phoneticPr fontId="1" type="noConversion"/>
  </si>
  <si>
    <t>YOUTUBE API</t>
    <phoneticPr fontId="1" type="noConversion"/>
  </si>
  <si>
    <t>세부 UI &amp; 예외처리</t>
    <phoneticPr fontId="1" type="noConversion"/>
  </si>
  <si>
    <t>KAKAO &amp; DAUM API</t>
    <phoneticPr fontId="1" type="noConversion"/>
  </si>
  <si>
    <t>전체진행 : 강민서</t>
    <phoneticPr fontId="1" type="noConversion"/>
  </si>
  <si>
    <t>김민수</t>
    <phoneticPr fontId="1" type="noConversion"/>
  </si>
  <si>
    <t>김민수</t>
    <phoneticPr fontId="1" type="noConversion"/>
  </si>
  <si>
    <t>노순표, 강민서</t>
    <phoneticPr fontId="1" type="noConversion"/>
  </si>
  <si>
    <t>하용대, 노순표</t>
    <phoneticPr fontId="1" type="noConversion"/>
  </si>
  <si>
    <t>강민서, 하용대</t>
    <phoneticPr fontId="1" type="noConversion"/>
  </si>
  <si>
    <t>김민서</t>
    <phoneticPr fontId="1" type="noConversion"/>
  </si>
  <si>
    <t>하용대</t>
    <phoneticPr fontId="1" type="noConversion"/>
  </si>
  <si>
    <t>강민서, 하용대</t>
    <phoneticPr fontId="1" type="noConversion"/>
  </si>
  <si>
    <t>공통</t>
    <phoneticPr fontId="1" type="noConversion"/>
  </si>
  <si>
    <t>하용대, 강민서</t>
    <phoneticPr fontId="1" type="noConversion"/>
  </si>
  <si>
    <t>공통</t>
    <phoneticPr fontId="1" type="noConversion"/>
  </si>
  <si>
    <t>Map &amp; 좌표</t>
    <phoneticPr fontId="1" type="noConversion"/>
  </si>
  <si>
    <t>업로드</t>
    <phoneticPr fontId="1" type="noConversion"/>
  </si>
  <si>
    <t>시각화</t>
    <phoneticPr fontId="1" type="noConversion"/>
  </si>
  <si>
    <t>홈페이지</t>
    <phoneticPr fontId="1" type="noConversion"/>
  </si>
  <si>
    <t>시각화 데이터</t>
    <phoneticPr fontId="1" type="noConversion"/>
  </si>
  <si>
    <t>2차 멘토링 발표자료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</si>
</sst>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/&quot;d"/>
    <numFmt numFmtId="177" formatCode="0&quot;일&quot;"/>
    <numFmt numFmtId="178" formatCode="0.0%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color theme="0" tint="-0.499984740745262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lightUp"/>
    </fill>
    <fill>
      <patternFill patternType="lightUp">
        <bgColor rgb="FFFFC000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0" fontId="3" fillId="0" borderId="1" xfId="0" applyFont="1" applyFill="1" applyBorder="1">
      <alignment vertical="center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41"/>
  <sheetViews>
    <sheetView tabSelected="1" zoomScaleNormal="100" workbookViewId="0">
      <pane xSplit="8" ySplit="4" topLeftCell="I8" activePane="bottomRight" state="frozen"/>
      <selection pane="topRight" activeCell="I1" sqref="I1"/>
      <selection pane="bottomLeft" activeCell="A4" sqref="A4"/>
      <selection pane="bottomRight" activeCell="E27" sqref="E27"/>
    </sheetView>
  </sheetViews>
  <sheetFormatPr defaultColWidth="5.125" defaultRowHeight="16.5" x14ac:dyDescent="0.3"/>
  <cols>
    <col min="1" max="1" width="10.625" customWidth="1"/>
    <col min="2" max="2" width="29" customWidth="1"/>
    <col min="3" max="3" width="7.75" bestFit="1" customWidth="1"/>
    <col min="4" max="4" width="8.375" bestFit="1" customWidth="1"/>
    <col min="5" max="5" width="5.125" style="2"/>
    <col min="6" max="6" width="8.75" style="2" bestFit="1" customWidth="1"/>
    <col min="7" max="7" width="8.625" style="2" customWidth="1"/>
    <col min="8" max="8" width="7" style="2" customWidth="1"/>
    <col min="9" max="9" width="5.125" customWidth="1"/>
  </cols>
  <sheetData>
    <row r="1" spans="1:52" ht="27.75" customHeight="1" x14ac:dyDescent="0.3">
      <c r="A1" s="3" t="s">
        <v>28</v>
      </c>
      <c r="B1" s="1" t="s">
        <v>84</v>
      </c>
      <c r="F1" s="39" t="s">
        <v>96</v>
      </c>
      <c r="G1" s="39"/>
      <c r="H1" s="32"/>
      <c r="I1" s="40" t="s">
        <v>47</v>
      </c>
      <c r="J1" s="40"/>
      <c r="K1" s="36">
        <v>43774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3"/>
      <c r="AC1" s="33"/>
      <c r="AD1" s="1"/>
      <c r="AE1" s="1"/>
      <c r="AF1" s="1" t="s">
        <v>62</v>
      </c>
      <c r="AG1" s="1" t="s">
        <v>63</v>
      </c>
      <c r="AH1" s="1" t="s">
        <v>64</v>
      </c>
    </row>
    <row r="2" spans="1:52" s="23" customFormat="1" ht="18" customHeight="1" x14ac:dyDescent="0.3">
      <c r="A2" s="24"/>
      <c r="B2" s="25"/>
      <c r="E2" s="26"/>
      <c r="F2" s="27"/>
      <c r="G2" s="28"/>
      <c r="H2" s="29"/>
      <c r="I2" s="30"/>
      <c r="J2" s="3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25"/>
      <c r="AC2" s="25"/>
      <c r="AD2" s="25"/>
      <c r="AE2" s="25"/>
      <c r="AF2" s="7"/>
      <c r="AG2" s="16"/>
      <c r="AH2" s="8"/>
    </row>
    <row r="3" spans="1:52" s="2" customFormat="1" ht="13.5" customHeight="1" x14ac:dyDescent="0.3">
      <c r="A3" s="38" t="s">
        <v>30</v>
      </c>
      <c r="B3" s="38" t="s">
        <v>0</v>
      </c>
      <c r="C3" s="38" t="s">
        <v>31</v>
      </c>
      <c r="D3" s="38" t="s">
        <v>32</v>
      </c>
      <c r="E3" s="38" t="s">
        <v>33</v>
      </c>
      <c r="F3" s="41" t="s">
        <v>1</v>
      </c>
      <c r="G3" s="38" t="s">
        <v>2</v>
      </c>
      <c r="H3" s="38" t="s">
        <v>29</v>
      </c>
      <c r="I3" s="6" t="s">
        <v>4</v>
      </c>
      <c r="J3" s="6" t="s">
        <v>5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10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  <c r="AA3" s="6" t="s">
        <v>22</v>
      </c>
      <c r="AB3" s="6" t="s">
        <v>23</v>
      </c>
      <c r="AC3" s="6" t="s">
        <v>24</v>
      </c>
      <c r="AD3" s="6" t="s">
        <v>25</v>
      </c>
      <c r="AE3" s="6" t="s">
        <v>26</v>
      </c>
      <c r="AF3" s="6" t="s">
        <v>34</v>
      </c>
      <c r="AG3" s="6" t="s">
        <v>35</v>
      </c>
      <c r="AH3" s="6" t="s">
        <v>36</v>
      </c>
      <c r="AI3" s="6" t="s">
        <v>37</v>
      </c>
      <c r="AJ3" s="6" t="s">
        <v>38</v>
      </c>
      <c r="AK3" s="6" t="s">
        <v>39</v>
      </c>
      <c r="AL3" s="17" t="s">
        <v>66</v>
      </c>
      <c r="AM3" s="17" t="s">
        <v>67</v>
      </c>
      <c r="AN3" s="17" t="s">
        <v>68</v>
      </c>
      <c r="AO3" s="17" t="s">
        <v>69</v>
      </c>
      <c r="AP3" s="17" t="s">
        <v>70</v>
      </c>
      <c r="AQ3" s="17" t="s">
        <v>71</v>
      </c>
      <c r="AR3" s="17" t="s">
        <v>72</v>
      </c>
      <c r="AS3" s="17" t="s">
        <v>73</v>
      </c>
      <c r="AT3" s="17" t="s">
        <v>74</v>
      </c>
      <c r="AU3" s="17" t="s">
        <v>75</v>
      </c>
      <c r="AV3" s="17" t="s">
        <v>76</v>
      </c>
      <c r="AW3" s="17" t="s">
        <v>77</v>
      </c>
      <c r="AX3" s="17" t="s">
        <v>78</v>
      </c>
      <c r="AY3" s="17" t="s">
        <v>79</v>
      </c>
      <c r="AZ3" s="17" t="s">
        <v>80</v>
      </c>
    </row>
    <row r="4" spans="1:52" s="2" customFormat="1" ht="13.5" customHeight="1" x14ac:dyDescent="0.3">
      <c r="A4" s="38"/>
      <c r="B4" s="38"/>
      <c r="C4" s="38"/>
      <c r="D4" s="38"/>
      <c r="E4" s="38"/>
      <c r="F4" s="42"/>
      <c r="G4" s="38"/>
      <c r="H4" s="38"/>
      <c r="I4" s="6">
        <v>43731</v>
      </c>
      <c r="J4" s="17">
        <v>43732</v>
      </c>
      <c r="K4" s="17">
        <v>43733</v>
      </c>
      <c r="L4" s="17">
        <v>43734</v>
      </c>
      <c r="M4" s="17">
        <v>43735</v>
      </c>
      <c r="N4" s="17">
        <v>43736</v>
      </c>
      <c r="O4" s="17">
        <v>43737</v>
      </c>
      <c r="P4" s="17">
        <v>43738</v>
      </c>
      <c r="Q4" s="17">
        <v>43739</v>
      </c>
      <c r="R4" s="17">
        <v>43740</v>
      </c>
      <c r="S4" s="17">
        <v>43741</v>
      </c>
      <c r="T4" s="17">
        <v>43742</v>
      </c>
      <c r="U4" s="17">
        <v>43743</v>
      </c>
      <c r="V4" s="17">
        <v>43744</v>
      </c>
      <c r="W4" s="17">
        <v>43745</v>
      </c>
      <c r="X4" s="17">
        <v>43746</v>
      </c>
      <c r="Y4" s="17">
        <v>43747</v>
      </c>
      <c r="Z4" s="17">
        <v>43748</v>
      </c>
      <c r="AA4" s="17">
        <v>43749</v>
      </c>
      <c r="AB4" s="17">
        <v>43750</v>
      </c>
      <c r="AC4" s="17">
        <v>43751</v>
      </c>
      <c r="AD4" s="17">
        <v>43752</v>
      </c>
      <c r="AE4" s="17">
        <v>43753</v>
      </c>
      <c r="AF4" s="17">
        <v>43754</v>
      </c>
      <c r="AG4" s="17">
        <v>43755</v>
      </c>
      <c r="AH4" s="17">
        <v>43756</v>
      </c>
      <c r="AI4" s="17">
        <v>43757</v>
      </c>
      <c r="AJ4" s="17">
        <v>43758</v>
      </c>
      <c r="AK4" s="17">
        <v>43759</v>
      </c>
      <c r="AL4" s="17">
        <v>43760</v>
      </c>
      <c r="AM4" s="17">
        <v>43761</v>
      </c>
      <c r="AN4" s="17">
        <v>43762</v>
      </c>
      <c r="AO4" s="17">
        <v>43763</v>
      </c>
      <c r="AP4" s="17">
        <v>43764</v>
      </c>
      <c r="AQ4" s="17">
        <v>43765</v>
      </c>
      <c r="AR4" s="17">
        <v>43766</v>
      </c>
      <c r="AS4" s="17">
        <v>43767</v>
      </c>
      <c r="AT4" s="17">
        <v>43768</v>
      </c>
      <c r="AU4" s="17">
        <v>43769</v>
      </c>
      <c r="AV4" s="17">
        <v>43770</v>
      </c>
      <c r="AW4" s="17">
        <v>43771</v>
      </c>
      <c r="AX4" s="17">
        <v>43772</v>
      </c>
      <c r="AY4" s="17">
        <v>43773</v>
      </c>
      <c r="AZ4" s="17">
        <v>43774</v>
      </c>
    </row>
    <row r="5" spans="1:52" x14ac:dyDescent="0.3">
      <c r="A5" s="43" t="s">
        <v>3</v>
      </c>
      <c r="B5" s="18" t="s">
        <v>52</v>
      </c>
      <c r="C5" s="13">
        <f>IF(($K$1-F5+1)/E5&gt;=1,1,IF(($K$1-F5+1)/E5&lt;0,0, ($K$1-F5+1)/E5))</f>
        <v>1</v>
      </c>
      <c r="D5" s="5"/>
      <c r="E5" s="11">
        <f>G5+1-F5</f>
        <v>3</v>
      </c>
      <c r="F5" s="4">
        <v>43731</v>
      </c>
      <c r="G5" s="4">
        <v>43733</v>
      </c>
      <c r="H5" s="35" t="s">
        <v>105</v>
      </c>
      <c r="I5" s="7"/>
      <c r="J5" s="16"/>
      <c r="K5" s="8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</row>
    <row r="6" spans="1:52" x14ac:dyDescent="0.3">
      <c r="A6" s="44"/>
      <c r="B6" s="18" t="s">
        <v>53</v>
      </c>
      <c r="C6" s="13">
        <f t="shared" ref="C6:C37" si="0">IF(($K$1-F6+1)/E6&gt;=1,1,IF(($K$1-F6+1)/E6&lt;0,0, ($K$1-F6+1)/E6))</f>
        <v>1</v>
      </c>
      <c r="D6" s="5" t="s">
        <v>54</v>
      </c>
      <c r="E6" s="11">
        <f t="shared" ref="E6:E37" si="1">G6+1-F6</f>
        <v>2</v>
      </c>
      <c r="F6" s="4">
        <v>43734</v>
      </c>
      <c r="G6" s="4">
        <v>43735</v>
      </c>
      <c r="H6" s="35" t="s">
        <v>105</v>
      </c>
      <c r="I6" s="5"/>
      <c r="J6" s="5"/>
      <c r="K6" s="5"/>
      <c r="L6" s="16"/>
      <c r="M6" s="8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</row>
    <row r="7" spans="1:52" x14ac:dyDescent="0.3">
      <c r="A7" s="44"/>
      <c r="B7" s="19" t="s">
        <v>61</v>
      </c>
      <c r="C7" s="13">
        <f t="shared" si="0"/>
        <v>1</v>
      </c>
      <c r="D7" s="5"/>
      <c r="E7" s="11">
        <f t="shared" si="1"/>
        <v>8</v>
      </c>
      <c r="F7" s="4">
        <v>43731</v>
      </c>
      <c r="G7" s="4">
        <v>43738</v>
      </c>
      <c r="H7" s="35" t="s">
        <v>105</v>
      </c>
      <c r="I7" s="7"/>
      <c r="J7" s="7"/>
      <c r="K7" s="7"/>
      <c r="L7" s="16"/>
      <c r="M7" s="16"/>
      <c r="N7" s="16"/>
      <c r="O7" s="16"/>
      <c r="P7" s="8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</row>
    <row r="8" spans="1:52" x14ac:dyDescent="0.3">
      <c r="A8" s="44"/>
      <c r="B8" s="18" t="s">
        <v>45</v>
      </c>
      <c r="C8" s="13">
        <f t="shared" si="0"/>
        <v>1</v>
      </c>
      <c r="D8" s="5"/>
      <c r="E8" s="11">
        <f t="shared" si="1"/>
        <v>3</v>
      </c>
      <c r="F8" s="4">
        <v>43737</v>
      </c>
      <c r="G8" s="4">
        <v>43739</v>
      </c>
      <c r="H8" s="35" t="s">
        <v>105</v>
      </c>
      <c r="I8" s="22"/>
      <c r="J8" s="22"/>
      <c r="K8" s="22"/>
      <c r="L8" s="22"/>
      <c r="M8" s="22"/>
      <c r="N8" s="22"/>
      <c r="O8" s="7"/>
      <c r="P8" s="16"/>
      <c r="Q8" s="8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pans="1:52" x14ac:dyDescent="0.3">
      <c r="A9" s="44"/>
      <c r="B9" s="18" t="s">
        <v>46</v>
      </c>
      <c r="C9" s="13">
        <f t="shared" si="0"/>
        <v>1</v>
      </c>
      <c r="D9" s="5"/>
      <c r="E9" s="11">
        <f t="shared" si="1"/>
        <v>34</v>
      </c>
      <c r="F9" s="4">
        <v>43740</v>
      </c>
      <c r="G9" s="4">
        <v>43773</v>
      </c>
      <c r="H9" s="35" t="s">
        <v>105</v>
      </c>
      <c r="I9" s="22"/>
      <c r="J9" s="22"/>
      <c r="K9" s="22"/>
      <c r="L9" s="22"/>
      <c r="M9" s="22"/>
      <c r="N9" s="22"/>
      <c r="O9" s="22"/>
      <c r="P9" s="22"/>
      <c r="Q9" s="22"/>
      <c r="R9" s="7"/>
      <c r="S9" s="7"/>
      <c r="T9" s="7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8"/>
      <c r="AH9" s="7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8"/>
      <c r="AZ9" s="34"/>
    </row>
    <row r="10" spans="1:52" x14ac:dyDescent="0.3">
      <c r="A10" s="44"/>
      <c r="B10" s="20" t="s">
        <v>40</v>
      </c>
      <c r="C10" s="13">
        <f>IF(($K$1-F10+1)/E10&gt;=1,1,IF(($K$1-F10+1)/E10&lt;0,0, ($K$1-F10+1)/E10))</f>
        <v>1</v>
      </c>
      <c r="D10" s="5" t="s">
        <v>81</v>
      </c>
      <c r="E10" s="11">
        <f t="shared" si="1"/>
        <v>16</v>
      </c>
      <c r="F10" s="4">
        <v>43740</v>
      </c>
      <c r="G10" s="4">
        <v>43755</v>
      </c>
      <c r="H10" s="35" t="s">
        <v>105</v>
      </c>
      <c r="I10" s="22"/>
      <c r="J10" s="22"/>
      <c r="K10" s="22"/>
      <c r="L10" s="22"/>
      <c r="M10" s="22"/>
      <c r="N10" s="22"/>
      <c r="O10" s="22"/>
      <c r="P10" s="22"/>
      <c r="Q10" s="22"/>
      <c r="R10" s="7"/>
      <c r="S10" s="7"/>
      <c r="T10" s="7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8"/>
      <c r="AH10" s="22"/>
      <c r="AI10" s="22"/>
      <c r="AJ10" s="22"/>
      <c r="AK10" s="22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</row>
    <row r="11" spans="1:52" x14ac:dyDescent="0.3">
      <c r="A11" s="44"/>
      <c r="B11" s="20" t="s">
        <v>41</v>
      </c>
      <c r="C11" s="13">
        <f t="shared" si="0"/>
        <v>1</v>
      </c>
      <c r="D11" s="5" t="s">
        <v>86</v>
      </c>
      <c r="E11" s="11">
        <f t="shared" si="1"/>
        <v>18</v>
      </c>
      <c r="F11" s="4">
        <v>43756</v>
      </c>
      <c r="G11" s="4">
        <v>43773</v>
      </c>
      <c r="H11" s="35" t="s">
        <v>105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7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8"/>
      <c r="AZ11" s="34"/>
    </row>
    <row r="12" spans="1:52" x14ac:dyDescent="0.3">
      <c r="A12" s="44"/>
      <c r="B12" s="18" t="s">
        <v>42</v>
      </c>
      <c r="C12" s="13">
        <f t="shared" si="0"/>
        <v>1</v>
      </c>
      <c r="D12" s="5"/>
      <c r="E12" s="11">
        <f t="shared" si="1"/>
        <v>1</v>
      </c>
      <c r="F12" s="4">
        <v>43773</v>
      </c>
      <c r="G12" s="4">
        <v>43773</v>
      </c>
      <c r="H12" s="35" t="s">
        <v>105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8"/>
      <c r="AZ12" s="34"/>
    </row>
    <row r="13" spans="1:52" x14ac:dyDescent="0.3">
      <c r="A13" s="44"/>
      <c r="B13" s="18" t="s">
        <v>43</v>
      </c>
      <c r="C13" s="13">
        <f t="shared" si="0"/>
        <v>1</v>
      </c>
      <c r="D13" s="5"/>
      <c r="E13" s="11">
        <f t="shared" si="1"/>
        <v>1</v>
      </c>
      <c r="F13" s="4">
        <v>43774</v>
      </c>
      <c r="G13" s="4">
        <v>43774</v>
      </c>
      <c r="H13" s="12" t="s">
        <v>97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8"/>
    </row>
    <row r="14" spans="1:52" x14ac:dyDescent="0.3">
      <c r="A14" s="37" t="s">
        <v>27</v>
      </c>
      <c r="B14" s="18" t="s">
        <v>56</v>
      </c>
      <c r="C14" s="13">
        <f t="shared" si="0"/>
        <v>1</v>
      </c>
      <c r="D14" s="5"/>
      <c r="E14" s="11">
        <f t="shared" si="1"/>
        <v>3</v>
      </c>
      <c r="F14" s="4">
        <v>43731</v>
      </c>
      <c r="G14" s="4">
        <v>43733</v>
      </c>
      <c r="H14" s="35" t="s">
        <v>105</v>
      </c>
      <c r="I14" s="7"/>
      <c r="J14" s="16"/>
      <c r="K14" s="16"/>
      <c r="L14" s="8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3">
      <c r="A15" s="37"/>
      <c r="B15" s="20" t="s">
        <v>59</v>
      </c>
      <c r="C15" s="13">
        <f t="shared" si="0"/>
        <v>1</v>
      </c>
      <c r="D15" s="5"/>
      <c r="E15" s="11">
        <f t="shared" si="1"/>
        <v>1</v>
      </c>
      <c r="F15" s="4">
        <v>43731</v>
      </c>
      <c r="G15" s="4">
        <v>43731</v>
      </c>
      <c r="H15" s="35" t="s">
        <v>105</v>
      </c>
      <c r="I15" s="8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3">
      <c r="A16" s="37"/>
      <c r="B16" s="20" t="s">
        <v>52</v>
      </c>
      <c r="C16" s="13">
        <f t="shared" si="0"/>
        <v>1</v>
      </c>
      <c r="D16" s="5"/>
      <c r="E16" s="11">
        <f t="shared" si="1"/>
        <v>1</v>
      </c>
      <c r="F16" s="4">
        <v>43731</v>
      </c>
      <c r="G16" s="4">
        <v>43731</v>
      </c>
      <c r="H16" s="35" t="s">
        <v>105</v>
      </c>
      <c r="I16" s="7"/>
      <c r="J16" s="16"/>
      <c r="K16" s="8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3">
      <c r="A17" s="37"/>
      <c r="B17" s="21" t="s">
        <v>57</v>
      </c>
      <c r="C17" s="13">
        <f t="shared" si="0"/>
        <v>1</v>
      </c>
      <c r="D17" s="5"/>
      <c r="E17" s="11">
        <f t="shared" si="1"/>
        <v>3</v>
      </c>
      <c r="F17" s="4">
        <v>43731</v>
      </c>
      <c r="G17" s="4">
        <v>43733</v>
      </c>
      <c r="H17" s="14" t="s">
        <v>105</v>
      </c>
      <c r="I17" s="7"/>
      <c r="J17" s="16"/>
      <c r="K17" s="8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3">
      <c r="A18" s="37"/>
      <c r="B18" s="21" t="s">
        <v>58</v>
      </c>
      <c r="C18" s="13">
        <f t="shared" si="0"/>
        <v>1</v>
      </c>
      <c r="D18" s="5"/>
      <c r="E18" s="11">
        <f t="shared" si="1"/>
        <v>1</v>
      </c>
      <c r="F18" s="4">
        <v>43733</v>
      </c>
      <c r="G18" s="4">
        <v>43733</v>
      </c>
      <c r="H18" s="14" t="s">
        <v>105</v>
      </c>
      <c r="I18" s="22"/>
      <c r="J18" s="22"/>
      <c r="K18" s="8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3">
      <c r="A19" s="37"/>
      <c r="B19" s="21" t="s">
        <v>87</v>
      </c>
      <c r="C19" s="13">
        <f t="shared" si="0"/>
        <v>1</v>
      </c>
      <c r="D19" s="5"/>
      <c r="E19" s="11">
        <f t="shared" si="1"/>
        <v>3</v>
      </c>
      <c r="F19" s="4">
        <v>43731</v>
      </c>
      <c r="G19" s="4">
        <v>43733</v>
      </c>
      <c r="H19" s="35" t="s">
        <v>105</v>
      </c>
      <c r="I19" s="7"/>
      <c r="J19" s="16"/>
      <c r="K19" s="8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3">
      <c r="A20" s="37"/>
      <c r="B20" s="21" t="s">
        <v>88</v>
      </c>
      <c r="C20" s="13">
        <f t="shared" si="0"/>
        <v>1</v>
      </c>
      <c r="D20" s="5"/>
      <c r="E20" s="11">
        <f t="shared" si="1"/>
        <v>2</v>
      </c>
      <c r="F20" s="4">
        <v>43732</v>
      </c>
      <c r="G20" s="4">
        <v>43733</v>
      </c>
      <c r="H20" s="35" t="s">
        <v>105</v>
      </c>
      <c r="I20" s="22"/>
      <c r="J20" s="7"/>
      <c r="K20" s="8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3">
      <c r="A21" s="37"/>
      <c r="B21" s="18" t="s">
        <v>55</v>
      </c>
      <c r="C21" s="13">
        <f t="shared" si="0"/>
        <v>1</v>
      </c>
      <c r="D21" s="5" t="s">
        <v>113</v>
      </c>
      <c r="E21" s="11">
        <f t="shared" si="1"/>
        <v>11</v>
      </c>
      <c r="F21" s="4">
        <v>43731</v>
      </c>
      <c r="G21" s="4">
        <v>43741</v>
      </c>
      <c r="H21" s="35" t="s">
        <v>105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3">
      <c r="A22" s="37"/>
      <c r="B22" s="20" t="s">
        <v>44</v>
      </c>
      <c r="C22" s="13">
        <f t="shared" si="0"/>
        <v>1</v>
      </c>
      <c r="D22" s="5"/>
      <c r="E22" s="11">
        <f t="shared" si="1"/>
        <v>4</v>
      </c>
      <c r="F22" s="4">
        <v>43731</v>
      </c>
      <c r="G22" s="4">
        <v>43734</v>
      </c>
      <c r="H22" s="35" t="s">
        <v>105</v>
      </c>
      <c r="I22" s="7"/>
      <c r="J22" s="7"/>
      <c r="K22" s="16"/>
      <c r="L22" s="8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3">
      <c r="A23" s="37"/>
      <c r="B23" s="20" t="s">
        <v>48</v>
      </c>
      <c r="C23" s="13">
        <f t="shared" si="0"/>
        <v>1</v>
      </c>
      <c r="D23" s="5"/>
      <c r="E23" s="11">
        <f t="shared" si="1"/>
        <v>4</v>
      </c>
      <c r="F23" s="4">
        <v>43738</v>
      </c>
      <c r="G23" s="4">
        <v>43741</v>
      </c>
      <c r="H23" s="35" t="s">
        <v>97</v>
      </c>
      <c r="I23" s="22"/>
      <c r="J23" s="22"/>
      <c r="K23" s="22"/>
      <c r="L23" s="22"/>
      <c r="M23" s="22"/>
      <c r="N23" s="22"/>
      <c r="O23" s="22"/>
      <c r="P23" s="7"/>
      <c r="Q23" s="16"/>
      <c r="R23" s="16"/>
      <c r="S23" s="8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3">
      <c r="A24" s="37"/>
      <c r="B24" s="19" t="s">
        <v>49</v>
      </c>
      <c r="C24" s="13">
        <f t="shared" si="0"/>
        <v>1</v>
      </c>
      <c r="D24" s="5"/>
      <c r="E24" s="11">
        <f t="shared" si="1"/>
        <v>31</v>
      </c>
      <c r="F24" s="4">
        <v>43743</v>
      </c>
      <c r="G24" s="4">
        <v>43773</v>
      </c>
      <c r="H24" s="35" t="s">
        <v>105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3">
      <c r="A25" s="37"/>
      <c r="B25" s="20" t="s">
        <v>50</v>
      </c>
      <c r="C25" s="13">
        <f t="shared" si="0"/>
        <v>1</v>
      </c>
      <c r="D25" s="5"/>
      <c r="E25" s="11">
        <f t="shared" si="1"/>
        <v>17</v>
      </c>
      <c r="F25" s="4">
        <v>43745</v>
      </c>
      <c r="G25" s="4">
        <v>43761</v>
      </c>
      <c r="H25" s="12" t="s">
        <v>106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3">
      <c r="A26" s="37"/>
      <c r="B26" s="21" t="s">
        <v>60</v>
      </c>
      <c r="C26" s="13">
        <f t="shared" si="0"/>
        <v>1</v>
      </c>
      <c r="D26" s="5"/>
      <c r="E26" s="11">
        <f t="shared" si="1"/>
        <v>3</v>
      </c>
      <c r="F26" s="4">
        <v>43745</v>
      </c>
      <c r="G26" s="4">
        <v>43747</v>
      </c>
      <c r="H26" s="12" t="s">
        <v>103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7"/>
      <c r="X26" s="16"/>
      <c r="Y26" s="8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3">
      <c r="A27" s="37"/>
      <c r="B27" s="21" t="s">
        <v>83</v>
      </c>
      <c r="C27" s="13">
        <f t="shared" si="0"/>
        <v>1</v>
      </c>
      <c r="D27" s="5"/>
      <c r="E27" s="11">
        <f t="shared" si="1"/>
        <v>7</v>
      </c>
      <c r="F27" s="4">
        <v>43746</v>
      </c>
      <c r="G27" s="4">
        <v>43752</v>
      </c>
      <c r="H27" s="14" t="s">
        <v>102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7"/>
      <c r="Y27" s="16"/>
      <c r="Z27" s="16"/>
      <c r="AA27" s="16"/>
      <c r="AB27" s="16"/>
      <c r="AC27" s="16"/>
      <c r="AD27" s="8"/>
      <c r="AE27" s="22"/>
      <c r="AF27" s="22"/>
      <c r="AG27" s="22"/>
      <c r="AH27" s="22"/>
      <c r="AI27" s="22"/>
      <c r="AJ27" s="22"/>
      <c r="AK27" s="22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3">
      <c r="A28" s="37"/>
      <c r="B28" s="21" t="s">
        <v>85</v>
      </c>
      <c r="C28" s="13">
        <f t="shared" si="0"/>
        <v>1</v>
      </c>
      <c r="D28" s="5" t="s">
        <v>112</v>
      </c>
      <c r="E28" s="11">
        <f t="shared" si="1"/>
        <v>3</v>
      </c>
      <c r="F28" s="4">
        <v>43759</v>
      </c>
      <c r="G28" s="4">
        <v>43761</v>
      </c>
      <c r="H28" s="14" t="s">
        <v>103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7"/>
      <c r="AL28" s="16"/>
      <c r="AM28" s="16"/>
      <c r="AN28" s="8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3">
      <c r="A29" s="37"/>
      <c r="B29" s="20" t="s">
        <v>51</v>
      </c>
      <c r="C29" s="13">
        <f t="shared" ref="C29:C30" si="2">IF(($K$1-F29+1)/E29&gt;=1,1,IF(($K$1-F29+1)/E29&lt;0,0, ($K$1-F29+1)/E29))</f>
        <v>1</v>
      </c>
      <c r="D29" s="5" t="s">
        <v>111</v>
      </c>
      <c r="E29" s="11">
        <f t="shared" ref="E29:E30" si="3">G29+1-F29</f>
        <v>31</v>
      </c>
      <c r="F29" s="4">
        <v>43743</v>
      </c>
      <c r="G29" s="4">
        <v>43773</v>
      </c>
      <c r="H29" s="12" t="s">
        <v>105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34"/>
      <c r="AZ29" s="34"/>
    </row>
    <row r="30" spans="1:52" x14ac:dyDescent="0.3">
      <c r="A30" s="37"/>
      <c r="B30" s="21" t="s">
        <v>82</v>
      </c>
      <c r="C30" s="13">
        <f t="shared" si="2"/>
        <v>1</v>
      </c>
      <c r="D30" s="5" t="s">
        <v>81</v>
      </c>
      <c r="E30" s="11">
        <f t="shared" si="3"/>
        <v>13</v>
      </c>
      <c r="F30" s="4">
        <v>43743</v>
      </c>
      <c r="G30" s="4">
        <v>43755</v>
      </c>
      <c r="H30" s="12" t="s">
        <v>105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7"/>
      <c r="V30" s="7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8"/>
      <c r="AH30" s="22"/>
      <c r="AI30" s="22"/>
      <c r="AJ30" s="22"/>
      <c r="AK30" s="22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3">
      <c r="A31" s="37"/>
      <c r="B31" s="21" t="s">
        <v>94</v>
      </c>
      <c r="C31" s="13">
        <f t="shared" si="0"/>
        <v>1</v>
      </c>
      <c r="D31" s="5" t="s">
        <v>86</v>
      </c>
      <c r="E31" s="11">
        <f t="shared" si="1"/>
        <v>18</v>
      </c>
      <c r="F31" s="4">
        <v>43756</v>
      </c>
      <c r="G31" s="4">
        <v>43773</v>
      </c>
      <c r="H31" s="12" t="s">
        <v>104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7"/>
      <c r="AI31" s="7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8"/>
      <c r="AY31" s="34"/>
      <c r="AZ31" s="34"/>
    </row>
    <row r="32" spans="1:52" x14ac:dyDescent="0.3">
      <c r="A32" s="37"/>
      <c r="B32" s="20" t="s">
        <v>89</v>
      </c>
      <c r="C32" s="13">
        <f t="shared" si="0"/>
        <v>1</v>
      </c>
      <c r="D32" s="5"/>
      <c r="E32" s="11">
        <f t="shared" si="1"/>
        <v>26</v>
      </c>
      <c r="F32" s="4">
        <v>43745</v>
      </c>
      <c r="G32" s="4">
        <v>43770</v>
      </c>
      <c r="H32" s="15" t="s">
        <v>107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34"/>
      <c r="AX32" s="34"/>
      <c r="AY32" s="34"/>
      <c r="AZ32" s="34"/>
    </row>
    <row r="33" spans="1:52" x14ac:dyDescent="0.3">
      <c r="A33" s="37"/>
      <c r="B33" s="21" t="s">
        <v>95</v>
      </c>
      <c r="C33" s="13">
        <f t="shared" ref="C33:C35" si="4">IF(($K$1-F33+1)/E33&gt;=1,1,IF(($K$1-F33+1)/E33&lt;0,0, ($K$1-F33+1)/E33))</f>
        <v>1</v>
      </c>
      <c r="D33" s="5" t="s">
        <v>108</v>
      </c>
      <c r="E33" s="11">
        <f t="shared" ref="E33:E34" si="5">G33+1-F33</f>
        <v>9</v>
      </c>
      <c r="F33" s="4">
        <v>43745</v>
      </c>
      <c r="G33" s="4">
        <v>43753</v>
      </c>
      <c r="H33" s="14" t="s">
        <v>101</v>
      </c>
      <c r="I33" s="5"/>
      <c r="J33" s="5"/>
      <c r="K33" s="5"/>
      <c r="L33" s="5"/>
      <c r="M33" s="5"/>
      <c r="N33" s="22"/>
      <c r="O33" s="22"/>
      <c r="P33" s="22"/>
      <c r="Q33" s="22"/>
      <c r="R33" s="22"/>
      <c r="S33" s="22"/>
      <c r="T33" s="22"/>
      <c r="U33" s="22"/>
      <c r="V33" s="22"/>
      <c r="W33" s="7"/>
      <c r="X33" s="16"/>
      <c r="Y33" s="16"/>
      <c r="Z33" s="16"/>
      <c r="AA33" s="16"/>
      <c r="AB33" s="16"/>
      <c r="AC33" s="16"/>
      <c r="AD33" s="16"/>
      <c r="AE33" s="8"/>
      <c r="AF33" s="22"/>
      <c r="AG33" s="22"/>
      <c r="AH33" s="22"/>
      <c r="AI33" s="22"/>
      <c r="AJ33" s="22"/>
      <c r="AK33" s="22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3">
      <c r="A34" s="37"/>
      <c r="B34" s="21" t="s">
        <v>91</v>
      </c>
      <c r="C34" s="13">
        <f t="shared" si="4"/>
        <v>1</v>
      </c>
      <c r="D34" s="5" t="s">
        <v>109</v>
      </c>
      <c r="E34" s="11">
        <f t="shared" si="5"/>
        <v>8</v>
      </c>
      <c r="F34" s="4">
        <v>43745</v>
      </c>
      <c r="G34" s="4">
        <v>43752</v>
      </c>
      <c r="H34" s="14" t="s">
        <v>97</v>
      </c>
      <c r="I34" s="5"/>
      <c r="J34" s="5"/>
      <c r="K34" s="5"/>
      <c r="L34" s="5"/>
      <c r="M34" s="5"/>
      <c r="N34" s="22"/>
      <c r="O34" s="22"/>
      <c r="P34" s="22"/>
      <c r="Q34" s="22"/>
      <c r="R34" s="22"/>
      <c r="S34" s="22"/>
      <c r="T34" s="22"/>
      <c r="U34" s="22"/>
      <c r="V34" s="22"/>
      <c r="W34" s="7"/>
      <c r="X34" s="7"/>
      <c r="Y34" s="16"/>
      <c r="Z34" s="16"/>
      <c r="AA34" s="16"/>
      <c r="AB34" s="16"/>
      <c r="AC34" s="16"/>
      <c r="AD34" s="16"/>
      <c r="AE34" s="16"/>
      <c r="AF34" s="16"/>
      <c r="AG34" s="8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34"/>
      <c r="AU34" s="34"/>
      <c r="AV34" s="34"/>
      <c r="AW34" s="34"/>
      <c r="AX34" s="34"/>
      <c r="AY34" s="34"/>
      <c r="AZ34" s="34"/>
    </row>
    <row r="35" spans="1:52" x14ac:dyDescent="0.3">
      <c r="A35" s="37"/>
      <c r="B35" s="21" t="s">
        <v>93</v>
      </c>
      <c r="C35" s="13">
        <f t="shared" si="4"/>
        <v>1</v>
      </c>
      <c r="D35" s="5" t="s">
        <v>109</v>
      </c>
      <c r="E35" s="11">
        <f t="shared" ref="E35" si="6">G35+1-F35</f>
        <v>11</v>
      </c>
      <c r="F35" s="4">
        <v>43760</v>
      </c>
      <c r="G35" s="4">
        <v>43770</v>
      </c>
      <c r="H35" s="14" t="s">
        <v>98</v>
      </c>
      <c r="I35" s="5"/>
      <c r="J35" s="5"/>
      <c r="K35" s="5"/>
      <c r="L35" s="5"/>
      <c r="M35" s="5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7"/>
      <c r="AM35" s="16"/>
      <c r="AN35" s="16"/>
      <c r="AO35" s="16"/>
      <c r="AP35" s="16"/>
      <c r="AQ35" s="16"/>
      <c r="AR35" s="16"/>
      <c r="AS35" s="16"/>
      <c r="AT35" s="16"/>
      <c r="AU35" s="16"/>
      <c r="AV35" s="8"/>
      <c r="AW35" s="34"/>
      <c r="AX35" s="34"/>
      <c r="AY35" s="34"/>
      <c r="AZ35" s="34"/>
    </row>
    <row r="36" spans="1:52" x14ac:dyDescent="0.3">
      <c r="A36" s="37"/>
      <c r="B36" s="21" t="s">
        <v>90</v>
      </c>
      <c r="C36" s="13">
        <f t="shared" si="0"/>
        <v>1</v>
      </c>
      <c r="D36" s="5" t="s">
        <v>109</v>
      </c>
      <c r="E36" s="11">
        <f t="shared" si="1"/>
        <v>19</v>
      </c>
      <c r="F36" s="4">
        <v>43752</v>
      </c>
      <c r="G36" s="4">
        <v>43770</v>
      </c>
      <c r="H36" s="12" t="s">
        <v>99</v>
      </c>
      <c r="I36" s="5"/>
      <c r="J36" s="5"/>
      <c r="K36" s="5"/>
      <c r="L36" s="5"/>
      <c r="M36" s="5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7"/>
      <c r="AE36" s="7"/>
      <c r="AF36" s="7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8"/>
      <c r="AW36" s="34"/>
      <c r="AX36" s="34"/>
      <c r="AY36" s="34"/>
      <c r="AZ36" s="34"/>
    </row>
    <row r="37" spans="1:52" x14ac:dyDescent="0.3">
      <c r="A37" s="37"/>
      <c r="B37" s="21" t="s">
        <v>92</v>
      </c>
      <c r="C37" s="13">
        <f t="shared" si="0"/>
        <v>1</v>
      </c>
      <c r="D37" s="5" t="s">
        <v>110</v>
      </c>
      <c r="E37" s="11">
        <f t="shared" si="1"/>
        <v>9</v>
      </c>
      <c r="F37" s="4">
        <v>43762</v>
      </c>
      <c r="G37" s="4">
        <v>43770</v>
      </c>
      <c r="H37" s="15" t="s">
        <v>100</v>
      </c>
      <c r="I37" s="5"/>
      <c r="J37" s="5"/>
      <c r="K37" s="5"/>
      <c r="L37" s="5"/>
      <c r="M37" s="5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34"/>
      <c r="AM37" s="34"/>
      <c r="AN37" s="7"/>
      <c r="AO37" s="7"/>
      <c r="AP37" s="16"/>
      <c r="AQ37" s="16"/>
      <c r="AR37" s="16"/>
      <c r="AS37" s="16"/>
      <c r="AT37" s="16"/>
      <c r="AU37" s="16"/>
      <c r="AV37" s="8"/>
      <c r="AW37" s="34"/>
      <c r="AX37" s="34"/>
      <c r="AY37" s="34"/>
      <c r="AZ37" s="34"/>
    </row>
    <row r="38" spans="1:52" ht="13.5" customHeight="1" x14ac:dyDescent="0.3">
      <c r="A38" s="1"/>
      <c r="B38" s="1"/>
      <c r="E38"/>
      <c r="F38" s="9"/>
      <c r="G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52" ht="13.5" customHeight="1" x14ac:dyDescent="0.3">
      <c r="A39" s="1"/>
      <c r="B39" s="1"/>
      <c r="E39"/>
      <c r="F39" s="9"/>
      <c r="G39" s="9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 t="s">
        <v>62</v>
      </c>
      <c r="AD39" s="1" t="s">
        <v>63</v>
      </c>
      <c r="AE39" s="1" t="s">
        <v>65</v>
      </c>
    </row>
    <row r="40" spans="1:52" ht="13.5" customHeight="1" x14ac:dyDescent="0.3">
      <c r="A40" s="1"/>
      <c r="B40" s="1"/>
      <c r="E40"/>
      <c r="F40" s="9"/>
      <c r="G40" s="9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6"/>
      <c r="AE40" s="8"/>
    </row>
    <row r="41" spans="1:52" ht="13.5" customHeight="1" x14ac:dyDescent="0.3">
      <c r="A41" s="1"/>
      <c r="E41"/>
      <c r="F41" s="9"/>
      <c r="G41" s="9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52" ht="13.5" customHeight="1" x14ac:dyDescent="0.3">
      <c r="A42" s="1"/>
      <c r="B42" s="1"/>
      <c r="E42"/>
      <c r="F42" s="9"/>
      <c r="G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52" ht="13.5" customHeight="1" x14ac:dyDescent="0.3">
      <c r="A43" s="1"/>
      <c r="B43" s="1"/>
      <c r="E43"/>
      <c r="F43" s="9"/>
      <c r="G43" s="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52" ht="13.5" customHeight="1" x14ac:dyDescent="0.3">
      <c r="A44" s="1"/>
      <c r="B44" s="1"/>
      <c r="E44"/>
      <c r="F44" s="9"/>
      <c r="G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52" x14ac:dyDescent="0.3">
      <c r="E45"/>
      <c r="F45" s="10"/>
      <c r="G45" s="10"/>
    </row>
    <row r="46" spans="1:52" x14ac:dyDescent="0.3">
      <c r="E46"/>
      <c r="F46" s="10"/>
      <c r="G46" s="10"/>
    </row>
    <row r="47" spans="1:52" x14ac:dyDescent="0.3">
      <c r="E47"/>
      <c r="F47" s="10"/>
      <c r="G47" s="10"/>
    </row>
    <row r="48" spans="1:52" x14ac:dyDescent="0.3">
      <c r="E48"/>
      <c r="F48" s="10"/>
      <c r="G48" s="10"/>
    </row>
    <row r="49" spans="5:7" x14ac:dyDescent="0.3">
      <c r="E49"/>
      <c r="F49" s="10"/>
      <c r="G49" s="10"/>
    </row>
    <row r="50" spans="5:7" x14ac:dyDescent="0.3">
      <c r="E50"/>
      <c r="F50" s="10"/>
      <c r="G50" s="10"/>
    </row>
    <row r="51" spans="5:7" x14ac:dyDescent="0.3">
      <c r="E51"/>
      <c r="F51" s="10"/>
      <c r="G51" s="10"/>
    </row>
    <row r="52" spans="5:7" x14ac:dyDescent="0.3">
      <c r="E52"/>
      <c r="F52" s="10"/>
      <c r="G52" s="10"/>
    </row>
    <row r="53" spans="5:7" x14ac:dyDescent="0.3">
      <c r="E53"/>
      <c r="F53" s="10"/>
      <c r="G53" s="10"/>
    </row>
    <row r="54" spans="5:7" x14ac:dyDescent="0.3">
      <c r="E54"/>
      <c r="F54" s="10"/>
      <c r="G54" s="10"/>
    </row>
    <row r="55" spans="5:7" x14ac:dyDescent="0.3">
      <c r="F55" s="10"/>
      <c r="G55" s="10"/>
    </row>
    <row r="56" spans="5:7" x14ac:dyDescent="0.3">
      <c r="F56" s="10"/>
      <c r="G56" s="10"/>
    </row>
    <row r="57" spans="5:7" x14ac:dyDescent="0.3">
      <c r="F57" s="10"/>
      <c r="G57" s="10"/>
    </row>
    <row r="58" spans="5:7" x14ac:dyDescent="0.3">
      <c r="F58" s="10"/>
      <c r="G58" s="10"/>
    </row>
    <row r="59" spans="5:7" x14ac:dyDescent="0.3">
      <c r="F59" s="10"/>
      <c r="G59" s="10"/>
    </row>
    <row r="60" spans="5:7" x14ac:dyDescent="0.3">
      <c r="F60" s="10"/>
      <c r="G60" s="10"/>
    </row>
    <row r="61" spans="5:7" x14ac:dyDescent="0.3">
      <c r="F61" s="10"/>
      <c r="G61" s="10"/>
    </row>
    <row r="62" spans="5:7" x14ac:dyDescent="0.3">
      <c r="F62" s="10"/>
      <c r="G62" s="10"/>
    </row>
    <row r="63" spans="5:7" x14ac:dyDescent="0.3">
      <c r="F63" s="10"/>
      <c r="G63" s="10"/>
    </row>
    <row r="64" spans="5:7" x14ac:dyDescent="0.3">
      <c r="F64" s="10"/>
      <c r="G64" s="10"/>
    </row>
    <row r="65" spans="6:7" x14ac:dyDescent="0.3">
      <c r="F65" s="10"/>
      <c r="G65" s="10"/>
    </row>
    <row r="66" spans="6:7" x14ac:dyDescent="0.3">
      <c r="F66" s="10"/>
      <c r="G66" s="10"/>
    </row>
    <row r="67" spans="6:7" x14ac:dyDescent="0.3">
      <c r="F67" s="10"/>
      <c r="G67" s="10"/>
    </row>
    <row r="68" spans="6:7" x14ac:dyDescent="0.3">
      <c r="F68" s="10"/>
      <c r="G68" s="10"/>
    </row>
    <row r="69" spans="6:7" x14ac:dyDescent="0.3">
      <c r="F69" s="10"/>
      <c r="G69" s="10"/>
    </row>
    <row r="70" spans="6:7" x14ac:dyDescent="0.3">
      <c r="F70" s="10"/>
      <c r="G70" s="10"/>
    </row>
    <row r="71" spans="6:7" x14ac:dyDescent="0.3">
      <c r="F71" s="10"/>
      <c r="G71" s="10"/>
    </row>
    <row r="72" spans="6:7" x14ac:dyDescent="0.3">
      <c r="F72" s="10"/>
      <c r="G72" s="10"/>
    </row>
    <row r="73" spans="6:7" x14ac:dyDescent="0.3">
      <c r="F73" s="10"/>
      <c r="G73" s="10"/>
    </row>
    <row r="74" spans="6:7" x14ac:dyDescent="0.3">
      <c r="F74" s="10"/>
      <c r="G74" s="10"/>
    </row>
    <row r="75" spans="6:7" x14ac:dyDescent="0.3">
      <c r="F75" s="10"/>
      <c r="G75" s="10"/>
    </row>
    <row r="76" spans="6:7" x14ac:dyDescent="0.3">
      <c r="F76" s="10"/>
      <c r="G76" s="10"/>
    </row>
    <row r="77" spans="6:7" x14ac:dyDescent="0.3">
      <c r="F77" s="10"/>
      <c r="G77" s="10"/>
    </row>
    <row r="78" spans="6:7" x14ac:dyDescent="0.3">
      <c r="F78" s="10"/>
      <c r="G78" s="10"/>
    </row>
    <row r="79" spans="6:7" x14ac:dyDescent="0.3">
      <c r="F79" s="10"/>
      <c r="G79" s="10"/>
    </row>
    <row r="80" spans="6:7" x14ac:dyDescent="0.3">
      <c r="F80" s="10"/>
      <c r="G80" s="10"/>
    </row>
    <row r="81" spans="6:7" x14ac:dyDescent="0.3">
      <c r="F81" s="10"/>
      <c r="G81" s="10"/>
    </row>
    <row r="82" spans="6:7" x14ac:dyDescent="0.3">
      <c r="F82" s="10"/>
      <c r="G82" s="10"/>
    </row>
    <row r="83" spans="6:7" x14ac:dyDescent="0.3">
      <c r="F83" s="10"/>
      <c r="G83" s="10"/>
    </row>
    <row r="84" spans="6:7" x14ac:dyDescent="0.3">
      <c r="F84" s="10"/>
      <c r="G84" s="10"/>
    </row>
    <row r="85" spans="6:7" x14ac:dyDescent="0.3">
      <c r="F85" s="10"/>
      <c r="G85" s="10"/>
    </row>
    <row r="86" spans="6:7" x14ac:dyDescent="0.3">
      <c r="F86" s="10"/>
      <c r="G86" s="10"/>
    </row>
    <row r="87" spans="6:7" x14ac:dyDescent="0.3">
      <c r="F87" s="10"/>
      <c r="G87" s="10"/>
    </row>
    <row r="88" spans="6:7" x14ac:dyDescent="0.3">
      <c r="F88" s="10"/>
      <c r="G88" s="10"/>
    </row>
    <row r="89" spans="6:7" x14ac:dyDescent="0.3">
      <c r="F89" s="10"/>
      <c r="G89" s="10"/>
    </row>
    <row r="90" spans="6:7" x14ac:dyDescent="0.3">
      <c r="F90" s="10"/>
      <c r="G90" s="10"/>
    </row>
    <row r="91" spans="6:7" x14ac:dyDescent="0.3">
      <c r="F91" s="10"/>
      <c r="G91" s="10"/>
    </row>
    <row r="92" spans="6:7" x14ac:dyDescent="0.3">
      <c r="F92" s="10"/>
      <c r="G92" s="10"/>
    </row>
    <row r="93" spans="6:7" x14ac:dyDescent="0.3">
      <c r="F93" s="10"/>
      <c r="G93" s="10"/>
    </row>
    <row r="94" spans="6:7" x14ac:dyDescent="0.3">
      <c r="F94" s="10"/>
      <c r="G94" s="10"/>
    </row>
    <row r="95" spans="6:7" x14ac:dyDescent="0.3">
      <c r="F95" s="10"/>
      <c r="G95" s="10"/>
    </row>
    <row r="96" spans="6:7" x14ac:dyDescent="0.3">
      <c r="F96" s="10"/>
      <c r="G96" s="10"/>
    </row>
    <row r="97" spans="6:7" x14ac:dyDescent="0.3">
      <c r="F97" s="10"/>
      <c r="G97" s="10"/>
    </row>
    <row r="98" spans="6:7" x14ac:dyDescent="0.3">
      <c r="F98" s="10"/>
      <c r="G98" s="10"/>
    </row>
    <row r="99" spans="6:7" x14ac:dyDescent="0.3">
      <c r="F99" s="10"/>
      <c r="G99" s="10"/>
    </row>
    <row r="100" spans="6:7" x14ac:dyDescent="0.3">
      <c r="F100" s="10"/>
      <c r="G100" s="10"/>
    </row>
    <row r="101" spans="6:7" x14ac:dyDescent="0.3">
      <c r="F101" s="10"/>
      <c r="G101" s="10"/>
    </row>
    <row r="102" spans="6:7" x14ac:dyDescent="0.3">
      <c r="F102" s="10"/>
      <c r="G102" s="10"/>
    </row>
    <row r="103" spans="6:7" x14ac:dyDescent="0.3">
      <c r="F103" s="10"/>
      <c r="G103" s="10"/>
    </row>
    <row r="104" spans="6:7" x14ac:dyDescent="0.3">
      <c r="F104" s="10"/>
      <c r="G104" s="10"/>
    </row>
    <row r="105" spans="6:7" x14ac:dyDescent="0.3">
      <c r="F105" s="10"/>
      <c r="G105" s="10"/>
    </row>
    <row r="106" spans="6:7" x14ac:dyDescent="0.3">
      <c r="F106" s="10"/>
      <c r="G106" s="10"/>
    </row>
    <row r="107" spans="6:7" x14ac:dyDescent="0.3">
      <c r="F107" s="10"/>
      <c r="G107" s="10"/>
    </row>
    <row r="108" spans="6:7" x14ac:dyDescent="0.3">
      <c r="F108" s="10"/>
      <c r="G108" s="10"/>
    </row>
    <row r="109" spans="6:7" x14ac:dyDescent="0.3">
      <c r="F109" s="10"/>
      <c r="G109" s="10"/>
    </row>
    <row r="110" spans="6:7" x14ac:dyDescent="0.3">
      <c r="F110" s="10"/>
      <c r="G110" s="10"/>
    </row>
    <row r="111" spans="6:7" x14ac:dyDescent="0.3">
      <c r="F111" s="10"/>
      <c r="G111" s="10"/>
    </row>
    <row r="112" spans="6:7" x14ac:dyDescent="0.3">
      <c r="F112" s="10"/>
      <c r="G112" s="10"/>
    </row>
    <row r="113" spans="6:7" x14ac:dyDescent="0.3">
      <c r="F113" s="10"/>
      <c r="G113" s="10"/>
    </row>
    <row r="114" spans="6:7" x14ac:dyDescent="0.3">
      <c r="F114" s="10"/>
      <c r="G114" s="10"/>
    </row>
    <row r="115" spans="6:7" x14ac:dyDescent="0.3">
      <c r="F115" s="10"/>
      <c r="G115" s="10"/>
    </row>
    <row r="116" spans="6:7" x14ac:dyDescent="0.3">
      <c r="F116" s="10"/>
      <c r="G116" s="10"/>
    </row>
    <row r="117" spans="6:7" x14ac:dyDescent="0.3">
      <c r="F117" s="10"/>
      <c r="G117" s="10"/>
    </row>
    <row r="118" spans="6:7" x14ac:dyDescent="0.3">
      <c r="F118" s="10"/>
      <c r="G118" s="10"/>
    </row>
    <row r="119" spans="6:7" x14ac:dyDescent="0.3">
      <c r="F119" s="10"/>
      <c r="G119" s="10"/>
    </row>
    <row r="120" spans="6:7" x14ac:dyDescent="0.3">
      <c r="F120" s="10"/>
      <c r="G120" s="10"/>
    </row>
    <row r="121" spans="6:7" x14ac:dyDescent="0.3">
      <c r="F121" s="10"/>
      <c r="G121" s="10"/>
    </row>
    <row r="122" spans="6:7" x14ac:dyDescent="0.3">
      <c r="F122" s="10"/>
      <c r="G122" s="10"/>
    </row>
    <row r="123" spans="6:7" x14ac:dyDescent="0.3">
      <c r="F123" s="10"/>
      <c r="G123" s="10"/>
    </row>
    <row r="124" spans="6:7" x14ac:dyDescent="0.3">
      <c r="F124" s="10"/>
      <c r="G124" s="10"/>
    </row>
    <row r="125" spans="6:7" x14ac:dyDescent="0.3">
      <c r="F125" s="10"/>
      <c r="G125" s="10"/>
    </row>
    <row r="126" spans="6:7" x14ac:dyDescent="0.3">
      <c r="F126" s="10"/>
      <c r="G126" s="10"/>
    </row>
    <row r="127" spans="6:7" x14ac:dyDescent="0.3">
      <c r="F127" s="10"/>
      <c r="G127" s="10"/>
    </row>
    <row r="128" spans="6:7" x14ac:dyDescent="0.3">
      <c r="F128" s="10"/>
      <c r="G128" s="10"/>
    </row>
    <row r="129" spans="6:7" x14ac:dyDescent="0.3">
      <c r="F129" s="10"/>
      <c r="G129" s="10"/>
    </row>
    <row r="130" spans="6:7" x14ac:dyDescent="0.3">
      <c r="F130" s="10"/>
      <c r="G130" s="10"/>
    </row>
    <row r="131" spans="6:7" x14ac:dyDescent="0.3">
      <c r="F131" s="10"/>
      <c r="G131" s="10"/>
    </row>
    <row r="132" spans="6:7" x14ac:dyDescent="0.3">
      <c r="F132" s="10"/>
      <c r="G132" s="10"/>
    </row>
    <row r="133" spans="6:7" x14ac:dyDescent="0.3">
      <c r="F133" s="10"/>
      <c r="G133" s="10"/>
    </row>
    <row r="134" spans="6:7" x14ac:dyDescent="0.3">
      <c r="F134" s="10"/>
      <c r="G134" s="10"/>
    </row>
    <row r="135" spans="6:7" x14ac:dyDescent="0.3">
      <c r="F135" s="10"/>
      <c r="G135" s="10"/>
    </row>
    <row r="136" spans="6:7" x14ac:dyDescent="0.3">
      <c r="F136" s="10"/>
      <c r="G136" s="10"/>
    </row>
    <row r="137" spans="6:7" x14ac:dyDescent="0.3">
      <c r="F137" s="10"/>
      <c r="G137" s="10"/>
    </row>
    <row r="138" spans="6:7" x14ac:dyDescent="0.3">
      <c r="F138" s="10"/>
      <c r="G138" s="10"/>
    </row>
    <row r="139" spans="6:7" x14ac:dyDescent="0.3">
      <c r="F139" s="10"/>
      <c r="G139" s="10"/>
    </row>
    <row r="140" spans="6:7" x14ac:dyDescent="0.3">
      <c r="F140" s="10"/>
      <c r="G140" s="10"/>
    </row>
    <row r="141" spans="6:7" x14ac:dyDescent="0.3">
      <c r="F141" s="10"/>
      <c r="G141" s="10"/>
    </row>
  </sheetData>
  <mergeCells count="13">
    <mergeCell ref="K1:AA1"/>
    <mergeCell ref="A14:A37"/>
    <mergeCell ref="C3:C4"/>
    <mergeCell ref="F1:G1"/>
    <mergeCell ref="I1:J1"/>
    <mergeCell ref="F3:F4"/>
    <mergeCell ref="G3:G4"/>
    <mergeCell ref="H3:H4"/>
    <mergeCell ref="D3:D4"/>
    <mergeCell ref="E3:E4"/>
    <mergeCell ref="A3:A4"/>
    <mergeCell ref="B3:B4"/>
    <mergeCell ref="A5:A13"/>
  </mergeCells>
  <phoneticPr fontId="1" type="noConversion"/>
  <printOptions horizontalCentered="1"/>
  <pageMargins left="0.39370078740157499" right="0.39370078740157499" top="0.39370078740157499" bottom="0.62" header="0.55118110236220497" footer="0.39370078740157499"/>
  <pageSetup paperSize="9" scale="70" orientation="landscape" r:id="rId1"/>
  <headerFooter>
    <oddFooter>&amp;C&amp;P/&amp;N&amp;R&amp;G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2019-11-04T05:17:48Z</cp:lastPrinted>
  <dcterms:created xsi:type="dcterms:W3CDTF">2018-10-16T04:26:17Z</dcterms:created>
  <dcterms:modified xsi:type="dcterms:W3CDTF">2019-11-04T08:09:56Z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